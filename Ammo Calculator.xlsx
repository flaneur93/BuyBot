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  <sheet state="visible" name="buY &amp; sELL" sheetId="2" r:id="rId5"/>
  </sheets>
  <definedNames/>
  <calcPr/>
  <extLst>
    <ext uri="GoogleSheetsCustomDataVersion2">
      <go:sheetsCustomData xmlns:go="http://customooxmlschemas.google.com/" r:id="rId6" roundtripDataChecksum="X7tt6ju5sOZKGUtJGbNq8DU70FiVY2oig/YZBlgcXIM="/>
    </ext>
  </extLst>
</workbook>
</file>

<file path=xl/sharedStrings.xml><?xml version="1.0" encoding="utf-8"?>
<sst xmlns="http://schemas.openxmlformats.org/spreadsheetml/2006/main" count="26" uniqueCount="25">
  <si>
    <t>INPUT BOUGHT QUANTITY</t>
  </si>
  <si>
    <t>WHAT YOU BOUGHT AT</t>
  </si>
  <si>
    <t>WHAT YOU SELL AT</t>
  </si>
  <si>
    <t>Purchase Price</t>
  </si>
  <si>
    <t>Ammo X Price</t>
  </si>
  <si>
    <t>Ammo Quantity</t>
  </si>
  <si>
    <t>Sale Price</t>
  </si>
  <si>
    <t>market</t>
  </si>
  <si>
    <t>Market Stacks Needed To Sell</t>
  </si>
  <si>
    <t>WILL VARY WITH AMMO</t>
  </si>
  <si>
    <t>Profit Before Tax and Handling Fee</t>
  </si>
  <si>
    <t>INPUT CORRECT TAX</t>
  </si>
  <si>
    <t>Tax per Stack of 120</t>
  </si>
  <si>
    <t>TAX</t>
  </si>
  <si>
    <t>Profit After Tax</t>
  </si>
  <si>
    <t>Per Slot</t>
  </si>
  <si>
    <t>PURE PROFIT AFTER ALL EXPENSES</t>
  </si>
  <si>
    <t>Ammo Type</t>
  </si>
  <si>
    <t>Buy Range</t>
  </si>
  <si>
    <t>Sell</t>
  </si>
  <si>
    <t>Range Profit</t>
  </si>
  <si>
    <t>M995</t>
  </si>
  <si>
    <t>SNB</t>
  </si>
  <si>
    <t>AP 7.62</t>
  </si>
  <si>
    <t>5.45 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</si>
</sst>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_-;\-&quot;$&quot;* #,##0_-;_-&quot;$&quot;* &quot;-&quot;??_-;_-@"/>
    <numFmt numFmtId="165" formatCode="_-* #,##0_-;\-* #,##0_-;_-* &quot;-&quot;??_-;_-@"/>
  </numFmts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7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1" numFmtId="0" xfId="0" applyBorder="1" applyFont="1"/>
    <xf borderId="2" fillId="0" fontId="2" numFmtId="0" xfId="0" applyBorder="1" applyFont="1"/>
    <xf borderId="1" fillId="3" fontId="3" numFmtId="0" xfId="0" applyAlignment="1" applyBorder="1" applyFont="1">
      <alignment readingOrder="0"/>
    </xf>
    <xf borderId="1" fillId="3" fontId="1" numFmtId="164" xfId="0" applyBorder="1" applyFont="1" applyNumberFormat="1"/>
    <xf borderId="3" fillId="0" fontId="3" numFmtId="165" xfId="0" applyAlignment="1" applyBorder="1" applyFont="1" applyNumberFormat="1">
      <alignment readingOrder="0"/>
    </xf>
    <xf borderId="1" fillId="4" fontId="2" numFmtId="0" xfId="0" applyBorder="1" applyFill="1" applyFont="1"/>
    <xf borderId="0" fillId="0" fontId="2" numFmtId="0" xfId="0" applyFont="1"/>
    <xf borderId="0" fillId="0" fontId="1" numFmtId="165" xfId="0" applyFont="1" applyNumberFormat="1"/>
    <xf borderId="1" fillId="4" fontId="3" numFmtId="164" xfId="0" applyAlignment="1" applyBorder="1" applyFont="1" applyNumberFormat="1">
      <alignment readingOrder="0"/>
    </xf>
    <xf borderId="0" fillId="0" fontId="2" numFmtId="165" xfId="0" applyFont="1" applyNumberFormat="1"/>
    <xf borderId="4" fillId="0" fontId="2" numFmtId="165" xfId="0" applyBorder="1" applyFont="1" applyNumberFormat="1"/>
    <xf borderId="0" fillId="0" fontId="4" numFmtId="0" xfId="0" applyFont="1"/>
    <xf borderId="0" fillId="0" fontId="1" numFmtId="164" xfId="0" applyFont="1" applyNumberFormat="1"/>
    <xf borderId="5" fillId="4" fontId="2" numFmtId="0" xfId="0" applyBorder="1" applyFont="1"/>
    <xf borderId="0" fillId="0" fontId="5" numFmtId="0" xfId="0" applyAlignment="1" applyFont="1">
      <alignment readingOrder="0"/>
    </xf>
    <xf borderId="6" fillId="4" fontId="2" numFmtId="164" xfId="0" applyBorder="1" applyFont="1" applyNumberFormat="1"/>
    <xf borderId="0" fillId="0" fontId="2" numFmtId="0" xfId="0" applyAlignment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3</xdr:row>
      <xdr:rowOff>38100</xdr:rowOff>
    </xdr:from>
    <xdr:ext cx="685800" cy="485775"/>
    <xdr:grpSp>
      <xdr:nvGrpSpPr>
        <xdr:cNvPr id="2" name="Shape 2"/>
        <xdr:cNvGrpSpPr/>
      </xdr:nvGrpSpPr>
      <xdr:grpSpPr>
        <a:xfrm>
          <a:off x="5012625" y="3546638"/>
          <a:ext cx="666750" cy="466725"/>
          <a:chOff x="5012625" y="3546638"/>
          <a:chExt cx="666750" cy="466725"/>
        </a:xfrm>
      </xdr:grpSpPr>
      <xdr:cxnSp>
        <xdr:nvCxnSpPr>
          <xdr:cNvPr id="3" name="Shape 3"/>
          <xdr:cNvCxnSpPr/>
        </xdr:nvCxnSpPr>
        <xdr:spPr>
          <a:xfrm>
            <a:off x="5012625" y="3546638"/>
            <a:ext cx="666750" cy="46672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809625</xdr:colOff>
      <xdr:row>12</xdr:row>
      <xdr:rowOff>104775</xdr:rowOff>
    </xdr:from>
    <xdr:ext cx="733425" cy="142875"/>
    <xdr:grpSp>
      <xdr:nvGrpSpPr>
        <xdr:cNvPr id="2" name="Shape 2"/>
        <xdr:cNvGrpSpPr/>
      </xdr:nvGrpSpPr>
      <xdr:grpSpPr>
        <a:xfrm>
          <a:off x="4988813" y="3718088"/>
          <a:ext cx="714375" cy="123825"/>
          <a:chOff x="4988813" y="3718088"/>
          <a:chExt cx="714375" cy="123825"/>
        </a:xfrm>
      </xdr:grpSpPr>
      <xdr:cxnSp>
        <xdr:nvCxnSpPr>
          <xdr:cNvPr id="4" name="Shape 4"/>
          <xdr:cNvCxnSpPr/>
        </xdr:nvCxnSpPr>
        <xdr:spPr>
          <a:xfrm>
            <a:off x="4988813" y="3718088"/>
            <a:ext cx="714375" cy="12382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695325</xdr:colOff>
      <xdr:row>2</xdr:row>
      <xdr:rowOff>114300</xdr:rowOff>
    </xdr:from>
    <xdr:ext cx="857250" cy="361950"/>
    <xdr:grpSp>
      <xdr:nvGrpSpPr>
        <xdr:cNvPr id="2" name="Shape 2"/>
        <xdr:cNvGrpSpPr/>
      </xdr:nvGrpSpPr>
      <xdr:grpSpPr>
        <a:xfrm>
          <a:off x="4926900" y="3603788"/>
          <a:ext cx="838200" cy="352425"/>
          <a:chOff x="4926900" y="3603788"/>
          <a:chExt cx="838200" cy="352425"/>
        </a:xfrm>
      </xdr:grpSpPr>
      <xdr:cxnSp>
        <xdr:nvCxnSpPr>
          <xdr:cNvPr id="5" name="Shape 5"/>
          <xdr:cNvCxnSpPr/>
        </xdr:nvCxnSpPr>
        <xdr:spPr>
          <a:xfrm flipH="1">
            <a:off x="4926900" y="3603788"/>
            <a:ext cx="838200" cy="35242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895350</xdr:colOff>
      <xdr:row>3</xdr:row>
      <xdr:rowOff>0</xdr:rowOff>
    </xdr:from>
    <xdr:ext cx="3228975" cy="885825"/>
    <xdr:grpSp>
      <xdr:nvGrpSpPr>
        <xdr:cNvPr id="2" name="Shape 2"/>
        <xdr:cNvGrpSpPr/>
      </xdr:nvGrpSpPr>
      <xdr:grpSpPr>
        <a:xfrm>
          <a:off x="3741038" y="3346613"/>
          <a:ext cx="3209925" cy="866775"/>
          <a:chOff x="3741038" y="3346613"/>
          <a:chExt cx="3209925" cy="866775"/>
        </a:xfrm>
      </xdr:grpSpPr>
      <xdr:cxnSp>
        <xdr:nvCxnSpPr>
          <xdr:cNvPr id="6" name="Shape 6"/>
          <xdr:cNvCxnSpPr/>
        </xdr:nvCxnSpPr>
        <xdr:spPr>
          <a:xfrm flipH="1">
            <a:off x="3741038" y="3346613"/>
            <a:ext cx="3209925" cy="86677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876300</xdr:colOff>
      <xdr:row>17</xdr:row>
      <xdr:rowOff>152400</xdr:rowOff>
    </xdr:from>
    <xdr:ext cx="1428750" cy="381000"/>
    <xdr:grpSp>
      <xdr:nvGrpSpPr>
        <xdr:cNvPr id="2" name="Shape 2"/>
        <xdr:cNvGrpSpPr/>
      </xdr:nvGrpSpPr>
      <xdr:grpSpPr>
        <a:xfrm>
          <a:off x="4641150" y="3599025"/>
          <a:ext cx="1409700" cy="361950"/>
          <a:chOff x="4641150" y="3599025"/>
          <a:chExt cx="1409700" cy="361950"/>
        </a:xfrm>
      </xdr:grpSpPr>
      <xdr:cxnSp>
        <xdr:nvCxnSpPr>
          <xdr:cNvPr id="7" name="Shape 7"/>
          <xdr:cNvCxnSpPr/>
        </xdr:nvCxnSpPr>
        <xdr:spPr>
          <a:xfrm flipH="1" rot="10800000">
            <a:off x="4641150" y="3599025"/>
            <a:ext cx="1409700" cy="36195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5"/>
    <col customWidth="1" min="3" max="3" width="8.63"/>
    <col customWidth="1" min="4" max="4" width="13.38"/>
    <col customWidth="1" min="5" max="5" width="8.63"/>
    <col customWidth="1" min="6" max="6" width="13.13"/>
    <col customWidth="1" min="7" max="8" width="9.13"/>
    <col customWidth="1" min="9" max="9" width="15.88"/>
    <col customWidth="1" min="10" max="26" width="8.63"/>
  </cols>
  <sheetData>
    <row r="1" ht="14.25" customHeight="1"/>
    <row r="2" ht="14.25" customHeight="1"/>
    <row r="3" ht="14.25" customHeight="1">
      <c r="C3" s="1" t="s">
        <v>0</v>
      </c>
      <c r="D3" s="1"/>
      <c r="H3" s="1" t="s">
        <v>1</v>
      </c>
      <c r="I3" s="1"/>
      <c r="K3" s="1" t="s">
        <v>2</v>
      </c>
    </row>
    <row r="4" ht="14.25" customHeight="1"/>
    <row r="5" ht="14.25" customHeight="1"/>
    <row r="6" ht="14.25" customHeight="1">
      <c r="F6" s="2" t="s">
        <v>3</v>
      </c>
      <c r="I6" s="3" t="s">
        <v>4</v>
      </c>
    </row>
    <row r="7" ht="14.25" customHeight="1">
      <c r="D7" s="4" t="s">
        <v>5</v>
      </c>
      <c r="F7" s="5">
        <v>5700.0</v>
      </c>
      <c r="I7" s="6">
        <f>D8*F7</f>
        <v>820800000</v>
      </c>
    </row>
    <row r="8" ht="14.25" customHeight="1">
      <c r="D8" s="7">
        <v>144000.0</v>
      </c>
    </row>
    <row r="9" ht="14.25" customHeight="1">
      <c r="F9" s="8" t="s">
        <v>6</v>
      </c>
      <c r="G9" s="9" t="s">
        <v>7</v>
      </c>
      <c r="H9" s="9"/>
      <c r="I9" s="3" t="s">
        <v>4</v>
      </c>
    </row>
    <row r="10" ht="14.25" customHeight="1">
      <c r="D10" s="10"/>
      <c r="F10" s="11">
        <v>7500.0</v>
      </c>
      <c r="G10" s="12">
        <v>5700.0</v>
      </c>
      <c r="H10" s="12"/>
      <c r="I10" s="6">
        <f>D8*F10</f>
        <v>1080000000</v>
      </c>
    </row>
    <row r="11" ht="14.25" customHeight="1">
      <c r="D11" s="9" t="s">
        <v>8</v>
      </c>
    </row>
    <row r="12" ht="14.25" customHeight="1">
      <c r="A12" s="1" t="s">
        <v>9</v>
      </c>
      <c r="B12" s="1"/>
      <c r="D12" s="13">
        <f>D8/120</f>
        <v>1200</v>
      </c>
      <c r="I12" s="14" t="s">
        <v>10</v>
      </c>
    </row>
    <row r="13" ht="14.25" customHeight="1">
      <c r="A13" s="1" t="s">
        <v>11</v>
      </c>
      <c r="B13" s="1"/>
      <c r="I13" s="15">
        <f>I10-I7</f>
        <v>259200000</v>
      </c>
    </row>
    <row r="14" ht="14.25" customHeight="1">
      <c r="D14" s="14" t="s">
        <v>12</v>
      </c>
    </row>
    <row r="15" ht="14.25" customHeight="1">
      <c r="D15" s="10">
        <v>66000.0</v>
      </c>
      <c r="I15" s="9" t="s">
        <v>13</v>
      </c>
    </row>
    <row r="16" ht="14.25" customHeight="1">
      <c r="I16" s="10">
        <f>D12*D15</f>
        <v>79200000</v>
      </c>
    </row>
    <row r="17" ht="14.25" customHeight="1"/>
    <row r="18" ht="14.25" customHeight="1">
      <c r="I18" s="16" t="s">
        <v>14</v>
      </c>
      <c r="M18" s="17"/>
    </row>
    <row r="19" ht="14.25" customHeight="1">
      <c r="D19" s="14" t="s">
        <v>15</v>
      </c>
      <c r="I19" s="18">
        <f>I13-I16</f>
        <v>180000000</v>
      </c>
    </row>
    <row r="20" ht="14.25" customHeight="1">
      <c r="D20" s="14">
        <f>I19/D12</f>
        <v>150000</v>
      </c>
    </row>
    <row r="21" ht="14.25" customHeight="1">
      <c r="F21" s="1" t="s">
        <v>16</v>
      </c>
      <c r="G21" s="1"/>
      <c r="H21" s="1"/>
    </row>
    <row r="22" ht="14.25" customHeight="1">
      <c r="B22" s="17"/>
      <c r="C22" s="17"/>
      <c r="D22" s="1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4" width="11.13"/>
    <col customWidth="1" min="5" max="5" width="10.13"/>
    <col customWidth="1" min="6" max="26" width="8.63"/>
  </cols>
  <sheetData>
    <row r="1" ht="14.25" customHeight="1">
      <c r="B1" s="9" t="s">
        <v>17</v>
      </c>
      <c r="C1" s="19" t="s">
        <v>18</v>
      </c>
      <c r="E1" s="9" t="s">
        <v>19</v>
      </c>
      <c r="F1" s="19" t="s">
        <v>20</v>
      </c>
    </row>
    <row r="2" ht="14.25" customHeight="1">
      <c r="B2" s="9" t="s">
        <v>21</v>
      </c>
      <c r="C2" s="15">
        <v>4100.0</v>
      </c>
      <c r="D2" s="15">
        <v>4560.0</v>
      </c>
      <c r="E2" s="15">
        <v>5650.0</v>
      </c>
      <c r="F2" s="20">
        <f t="shared" ref="F2:F5" si="1">E2-C2</f>
        <v>1550</v>
      </c>
      <c r="G2" s="20">
        <f t="shared" ref="G2:G5" si="2">E2-D2</f>
        <v>1090</v>
      </c>
    </row>
    <row r="3" ht="14.25" customHeight="1">
      <c r="B3" s="9" t="s">
        <v>22</v>
      </c>
      <c r="C3" s="10">
        <v>15500.0</v>
      </c>
      <c r="D3" s="10">
        <v>18300.0</v>
      </c>
      <c r="E3" s="10">
        <v>22000.0</v>
      </c>
      <c r="F3" s="20">
        <f t="shared" si="1"/>
        <v>6500</v>
      </c>
      <c r="G3" s="20">
        <f t="shared" si="2"/>
        <v>3700</v>
      </c>
    </row>
    <row r="4" ht="14.25" customHeight="1">
      <c r="B4" s="9" t="s">
        <v>23</v>
      </c>
      <c r="C4" s="10">
        <v>5500.0</v>
      </c>
      <c r="D4" s="10">
        <v>5800.0</v>
      </c>
      <c r="E4" s="10">
        <v>6700.0</v>
      </c>
      <c r="F4" s="20">
        <f t="shared" si="1"/>
        <v>1200</v>
      </c>
      <c r="G4" s="20">
        <f t="shared" si="2"/>
        <v>900</v>
      </c>
    </row>
    <row r="5" ht="14.25" customHeight="1">
      <c r="B5" s="9" t="s">
        <v>24</v>
      </c>
      <c r="C5" s="10">
        <v>4100.0</v>
      </c>
      <c r="D5" s="10">
        <v>4300.0</v>
      </c>
      <c r="E5" s="10">
        <v>5300.0</v>
      </c>
      <c r="F5" s="20">
        <f t="shared" si="1"/>
        <v>1200</v>
      </c>
      <c r="G5" s="20">
        <f t="shared" si="2"/>
        <v>1000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D1"/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2025-07-30T12:15:11Z</dcterms:created>
  <dc:creator>Dejan popovski</dc:creator>
</cp:coreProperties>
</file>